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6945"/>
  </bookViews>
  <sheets>
    <sheet name="Sheet2" sheetId="2" r:id="rId1"/>
    <sheet name="Sheet3" sheetId="3" r:id="rId2"/>
    <sheet name="Sheet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<sst xmlns="http://schemas.openxmlformats.org/spreadsheetml/2006/main" count="82" uniqueCount="55">
  <si>
    <t>Row Labels</t>
  </si>
  <si>
    <t>Sum of MAT MAY'25</t>
  </si>
  <si>
    <t>SUN*</t>
  </si>
  <si>
    <t>NEURO / CNS</t>
  </si>
  <si>
    <t>CARDIAC</t>
  </si>
  <si>
    <t>GASTRO INTESTINAL</t>
  </si>
  <si>
    <t>ANTI DIABETIC</t>
  </si>
  <si>
    <t>ANTI-INFECTIVES</t>
  </si>
  <si>
    <t>PAIN / ANALGESICS</t>
  </si>
  <si>
    <t>RESPIRATORY</t>
  </si>
  <si>
    <t>DERMA</t>
  </si>
  <si>
    <t>VITAMINS/MINERALS/NUTRIENTS</t>
  </si>
  <si>
    <t>GYNAEC.</t>
  </si>
  <si>
    <t>ABBOTT*</t>
  </si>
  <si>
    <t>CIPLA</t>
  </si>
  <si>
    <t>MANKIND</t>
  </si>
  <si>
    <t>ALKEM*</t>
  </si>
  <si>
    <t>TORRENT PHARMA*</t>
  </si>
  <si>
    <t>INTAS PHARMA*</t>
  </si>
  <si>
    <t>LUPIN LIMITED</t>
  </si>
  <si>
    <t>MACLEODS PHARMA</t>
  </si>
  <si>
    <t>DR.REDDYS LABS*</t>
  </si>
  <si>
    <t>MIXTARD</t>
  </si>
  <si>
    <t>THYRONORM</t>
  </si>
  <si>
    <t>UDILIV</t>
  </si>
  <si>
    <t>FORACORT</t>
  </si>
  <si>
    <t>PAN</t>
  </si>
  <si>
    <t>PAN-D</t>
  </si>
  <si>
    <t>YEAR</t>
  </si>
  <si>
    <t>MAT`25</t>
  </si>
  <si>
    <t>ALL INDIA</t>
  </si>
  <si>
    <t>AUGMENTIN</t>
  </si>
  <si>
    <t>GLYCOMET-GP</t>
  </si>
  <si>
    <t>LIV-52</t>
  </si>
  <si>
    <t>ZERODOL-SP</t>
  </si>
  <si>
    <t>U S V</t>
  </si>
  <si>
    <t>GLAXOSMITHKLINE*</t>
  </si>
  <si>
    <t>HIMALAYA DRUG</t>
  </si>
  <si>
    <t>IPCA LABS</t>
  </si>
  <si>
    <t>COMPANIES</t>
  </si>
  <si>
    <t>REGION</t>
  </si>
  <si>
    <t>THERAPEUTIC AREAS</t>
  </si>
  <si>
    <t>Sum of MAT MAY'25 IN CR</t>
  </si>
  <si>
    <t>SOURCE-IMS MAT`25</t>
  </si>
  <si>
    <t xml:space="preserve">INSIGHTS:- </t>
  </si>
  <si>
    <r>
      <t>Sun Pharma dominates the IPM market with ~17% share</t>
    </r>
    <r>
      <rPr>
        <sz val="11"/>
        <color theme="1"/>
        <rFont val="Calibri"/>
        <family val="2"/>
        <scheme val="minor"/>
      </rPr>
      <t>, significantly ahead of Abbott (~14%) and Cipla (~12%).</t>
    </r>
  </si>
  <si>
    <t>Sun Pharma + Abbott + Cipla together contribute ~43% of total market share</t>
  </si>
  <si>
    <t>Companies like Mankind, Alkem, Torrent, and Intas are clustered between 7–11% share</t>
  </si>
  <si>
    <t>Foracort (Cipla) leads with the highest revenue (~829 Cr), outperforming all other brands.</t>
  </si>
  <si>
    <t>Long-term treatment segments drive steady revenue in pharma</t>
  </si>
  <si>
    <t>No extreme dominance after #1, small strategic changes can shift rankings.</t>
  </si>
  <si>
    <t>INSIGHTS</t>
  </si>
  <si>
    <t>Cardiac segment leads the market (~27,106 Cr), indicating highest demand and strong chronic therapy dominance.</t>
  </si>
  <si>
    <r>
      <t>Top 3 areas (Cardiac, Gastro, Anti-infectives) contribute a major share</t>
    </r>
    <r>
      <rPr>
        <sz val="11"/>
        <color theme="1"/>
        <rFont val="Calibri"/>
        <family val="2"/>
        <scheme val="minor"/>
      </rPr>
      <t>, showing concentration in core high-volume therapies.</t>
    </r>
  </si>
  <si>
    <r>
      <t>Lower segments like Gynaec (~8,961 Cr) and Neuro/CNS show comparatively smaller contribution</t>
    </r>
    <r>
      <rPr>
        <sz val="11"/>
        <color theme="1"/>
        <rFont val="Calibri"/>
        <family val="2"/>
        <scheme val="minor"/>
      </rPr>
      <t>, highlighting potential growth or underpenetrated opportunities.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</si>
</sst>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ont="1" applyAlignment="1">
      <alignment horizontal="left"/>
    </xf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3" borderId="2" xfId="0" applyFont="1" applyFill="1" applyBorder="1"/>
    <xf numFmtId="0" fontId="4" fillId="4" borderId="2" xfId="0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THERAPEUTIC AREAS IN INDIA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Sum of MAT MAY'25 IN 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Sheet2!$A$3:$A$12</c:f>
              <c:strCache>
                <c:ptCount val="10"/>
                <c:pt idx="0">
                  <c:v>CARDIAC</c:v>
                </c:pt>
                <c:pt idx="1">
                  <c:v>GASTRO INTESTINAL</c:v>
                </c:pt>
                <c:pt idx="2">
                  <c:v>ANTI-INFECTIVES</c:v>
                </c:pt>
                <c:pt idx="3">
                  <c:v>ANTI DIABETIC</c:v>
                </c:pt>
                <c:pt idx="4">
                  <c:v>RESPIRATORY</c:v>
                </c:pt>
                <c:pt idx="5">
                  <c:v>VITAMINS/MINERALS/NUTRIENTS</c:v>
                </c:pt>
                <c:pt idx="6">
                  <c:v>PAIN / ANALGESICS</c:v>
                </c:pt>
                <c:pt idx="7">
                  <c:v>DERMA</c:v>
                </c:pt>
                <c:pt idx="8">
                  <c:v>NEURO / CNS</c:v>
                </c:pt>
                <c:pt idx="9">
                  <c:v>GYNAEC.</c:v>
                </c:pt>
              </c:strCache>
            </c:strRef>
          </c:cat>
          <c:val>
            <c:numRef>
              <c:f>Sheet2!$B$3:$B$12</c:f>
              <c:numCache>
                <c:formatCode>0.00</c:formatCode>
                <c:ptCount val="10"/>
                <c:pt idx="0">
                  <c:v>27106.309910731979</c:v>
                </c:pt>
                <c:pt idx="1">
                  <c:v>22375.881503466058</c:v>
                </c:pt>
                <c:pt idx="2">
                  <c:v>20762.711124457001</c:v>
                </c:pt>
                <c:pt idx="3">
                  <c:v>18959.855492443985</c:v>
                </c:pt>
                <c:pt idx="4">
                  <c:v>16636.76294185402</c:v>
                </c:pt>
                <c:pt idx="5">
                  <c:v>15974.870513269967</c:v>
                </c:pt>
                <c:pt idx="6">
                  <c:v>15770.615444063973</c:v>
                </c:pt>
                <c:pt idx="7">
                  <c:v>14225.786333526972</c:v>
                </c:pt>
                <c:pt idx="8">
                  <c:v>12400.269400991949</c:v>
                </c:pt>
                <c:pt idx="9">
                  <c:v>8961.4947477490368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6-4040-97DB-C93CCB1671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7368847"/>
        <c:axId val="167369679"/>
        <c:axId val="0"/>
      </c:bar3DChart>
      <c:catAx>
        <c:axId val="167368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THERAPEUTIC</a:t>
                </a:r>
                <a:r>
                  <a:rPr lang="en-IN" baseline="0"/>
                  <a:t> AREAS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69679"/>
        <c:crosses val="autoZero"/>
        <c:auto val="1"/>
        <c:lblAlgn val="ctr"/>
        <c:lblOffset val="100"/>
        <c:noMultiLvlLbl val="0"/>
      </c:catAx>
      <c:valAx>
        <c:axId val="16736967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16736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061693818884884"/>
          <c:y val="6.986111111111111E-2"/>
          <c:w val="0.83958070288515996"/>
          <c:h val="0.545887284922717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Sum of MAT MAY'25 IN CR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shade val="65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shade val="6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6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65000"/>
                  <a:shade val="95000"/>
                </a:schemeClr>
              </a:contourClr>
            </a:sp3d>
          </c:spPr>
          <c:invertIfNegative val="0"/>
          <c:cat>
            <c:multiLvlStrRef>
              <c:f>Sheet3!$A$2:$B$11</c:f>
              <c:multiLvlStrCache>
                <c:ptCount val="10"/>
                <c:lvl>
                  <c:pt idx="0">
                    <c:v>FORACORT</c:v>
                  </c:pt>
                  <c:pt idx="1">
                    <c:v>GLYCOMET-GP</c:v>
                  </c:pt>
                  <c:pt idx="2">
                    <c:v>MIXTARD</c:v>
                  </c:pt>
                  <c:pt idx="3">
                    <c:v>AUGMENTIN</c:v>
                  </c:pt>
                  <c:pt idx="4">
                    <c:v>PAN</c:v>
                  </c:pt>
                  <c:pt idx="5">
                    <c:v>THYRONORM</c:v>
                  </c:pt>
                  <c:pt idx="6">
                    <c:v>UDILIV</c:v>
                  </c:pt>
                  <c:pt idx="7">
                    <c:v>LIV-52</c:v>
                  </c:pt>
                  <c:pt idx="8">
                    <c:v>PAN-D</c:v>
                  </c:pt>
                  <c:pt idx="9">
                    <c:v>ZERODOL-SP</c:v>
                  </c:pt>
                </c:lvl>
                <c:lvl>
                  <c:pt idx="0">
                    <c:v>CIPLA</c:v>
                  </c:pt>
                  <c:pt idx="1">
                    <c:v>U S V</c:v>
                  </c:pt>
                  <c:pt idx="2">
                    <c:v>ABBOTT*</c:v>
                  </c:pt>
                  <c:pt idx="3">
                    <c:v>GLAXOSMITHKLINE*</c:v>
                  </c:pt>
                  <c:pt idx="4">
                    <c:v>ALKEM*</c:v>
                  </c:pt>
                  <c:pt idx="5">
                    <c:v>ABBOTT*</c:v>
                  </c:pt>
                  <c:pt idx="6">
                    <c:v>ABBOTT*</c:v>
                  </c:pt>
                  <c:pt idx="7">
                    <c:v>HIMALAYA DRUG</c:v>
                  </c:pt>
                  <c:pt idx="8">
                    <c:v>ALKEM*</c:v>
                  </c:pt>
                  <c:pt idx="9">
                    <c:v>IPCA LABS</c:v>
                  </c:pt>
                </c:lvl>
              </c:multiLvlStrCache>
            </c:multiLvlStrRef>
          </c:cat>
          <c:val>
            <c:numRef>
              <c:f>Sheet3!$C$2:$C$11</c:f>
              <c:numCache>
                <c:formatCode>0.00</c:formatCode>
                <c:ptCount val="10"/>
                <c:pt idx="0">
                  <c:v>829.53279158399994</c:v>
                </c:pt>
                <c:pt idx="1">
                  <c:v>757.06613387700008</c:v>
                </c:pt>
                <c:pt idx="2">
                  <c:v>726.20254406300012</c:v>
                </c:pt>
                <c:pt idx="3">
                  <c:v>724.79232828800002</c:v>
                </c:pt>
                <c:pt idx="4">
                  <c:v>656.417864409</c:v>
                </c:pt>
                <c:pt idx="5">
                  <c:v>625.53298594299997</c:v>
                </c:pt>
                <c:pt idx="6">
                  <c:v>616.76399136200007</c:v>
                </c:pt>
                <c:pt idx="7">
                  <c:v>616.03251972200007</c:v>
                </c:pt>
                <c:pt idx="8">
                  <c:v>593.21734685900003</c:v>
                </c:pt>
                <c:pt idx="9">
                  <c:v>585.24388421200001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4-4825-A074-0204BB96B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0871072"/>
        <c:axId val="280868992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Sheet3!$D$1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shade val="95000"/>
                      </a:schemeClr>
                    </a:contourClr>
                  </a:sp3d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Sheet3!$A$2:$B$11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FORACORT</c:v>
                        </c:pt>
                        <c:pt idx="1">
                          <c:v>GLYCOMET-GP</c:v>
                        </c:pt>
                        <c:pt idx="2">
                          <c:v>MIXTARD</c:v>
                        </c:pt>
                        <c:pt idx="3">
                          <c:v>AUGMENTIN</c:v>
                        </c:pt>
                        <c:pt idx="4">
                          <c:v>PAN</c:v>
                        </c:pt>
                        <c:pt idx="5">
                          <c:v>THYRONORM</c:v>
                        </c:pt>
                        <c:pt idx="6">
                          <c:v>UDILIV</c:v>
                        </c:pt>
                        <c:pt idx="7">
                          <c:v>LIV-52</c:v>
                        </c:pt>
                        <c:pt idx="8">
                          <c:v>PAN-D</c:v>
                        </c:pt>
                        <c:pt idx="9">
                          <c:v>ZERODOL-SP</c:v>
                        </c:pt>
                      </c:lvl>
                      <c:lvl>
                        <c:pt idx="0">
                          <c:v>CIPLA</c:v>
                        </c:pt>
                        <c:pt idx="1">
                          <c:v>U S V</c:v>
                        </c:pt>
                        <c:pt idx="2">
                          <c:v>ABBOTT*</c:v>
                        </c:pt>
                        <c:pt idx="3">
                          <c:v>GLAXOSMITHKLINE*</c:v>
                        </c:pt>
                        <c:pt idx="4">
                          <c:v>ALKEM*</c:v>
                        </c:pt>
                        <c:pt idx="5">
                          <c:v>ABBOTT*</c:v>
                        </c:pt>
                        <c:pt idx="6">
                          <c:v>ABBOTT*</c:v>
                        </c:pt>
                        <c:pt idx="7">
                          <c:v>HIMALAYA DRUG</c:v>
                        </c:pt>
                        <c:pt idx="8">
                          <c:v>ALKEM*</c:v>
                        </c:pt>
                        <c:pt idx="9">
                          <c:v>IPCA LABS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Sheet3!$D$2:$D$11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E24-4825-A074-0204BB96BEB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Sheet3!$E$1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tint val="65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tint val="65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tint val="65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tint val="65000"/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tint val="65000"/>
                        <a:shade val="95000"/>
                      </a:schemeClr>
                    </a:contourClr>
                  </a:sp3d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FORACORT</c:v>
                        </c:pt>
                        <c:pt idx="1">
                          <c:v>GLYCOMET-GP</c:v>
                        </c:pt>
                        <c:pt idx="2">
                          <c:v>MIXTARD</c:v>
                        </c:pt>
                        <c:pt idx="3">
                          <c:v>AUGMENTIN</c:v>
                        </c:pt>
                        <c:pt idx="4">
                          <c:v>PAN</c:v>
                        </c:pt>
                        <c:pt idx="5">
                          <c:v>THYRONORM</c:v>
                        </c:pt>
                        <c:pt idx="6">
                          <c:v>UDILIV</c:v>
                        </c:pt>
                        <c:pt idx="7">
                          <c:v>LIV-52</c:v>
                        </c:pt>
                        <c:pt idx="8">
                          <c:v>PAN-D</c:v>
                        </c:pt>
                        <c:pt idx="9">
                          <c:v>ZERODOL-SP</c:v>
                        </c:pt>
                      </c:lvl>
                      <c:lvl>
                        <c:pt idx="0">
                          <c:v>CIPLA</c:v>
                        </c:pt>
                        <c:pt idx="1">
                          <c:v>U S V</c:v>
                        </c:pt>
                        <c:pt idx="2">
                          <c:v>ABBOTT*</c:v>
                        </c:pt>
                        <c:pt idx="3">
                          <c:v>GLAXOSMITHKLINE*</c:v>
                        </c:pt>
                        <c:pt idx="4">
                          <c:v>ALKEM*</c:v>
                        </c:pt>
                        <c:pt idx="5">
                          <c:v>ABBOTT*</c:v>
                        </c:pt>
                        <c:pt idx="6">
                          <c:v>ABBOTT*</c:v>
                        </c:pt>
                        <c:pt idx="7">
                          <c:v>HIMALAYA DRUG</c:v>
                        </c:pt>
                        <c:pt idx="8">
                          <c:v>ALKEM*</c:v>
                        </c:pt>
                        <c:pt idx="9">
                          <c:v>IPCA LABS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Sheet3!$E$2:$E$11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E24-4825-A074-0204BB96BEB7}"/>
                  </c:ext>
                </c:extLst>
              </c15:ser>
            </c15:filteredBarSeries>
          </c:ext>
        </c:extLst>
      </c:bar3DChart>
      <c:catAx>
        <c:axId val="28087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BRANDS</a:t>
                </a:r>
                <a:r>
                  <a:rPr lang="en-IN" baseline="0"/>
                  <a:t> 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68992"/>
        <c:crosses val="autoZero"/>
        <c:auto val="1"/>
        <c:lblAlgn val="ctr"/>
        <c:lblOffset val="100"/>
        <c:noMultiLvlLbl val="0"/>
      </c:catAx>
      <c:valAx>
        <c:axId val="2808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9.5424806593053413E-2"/>
              <c:y val="0.26975831146106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871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TOP-10</a:t>
            </a:r>
            <a:r>
              <a:rPr lang="en-US" baseline="0"/>
              <a:t> COMPANIES IN IPM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Sum of MAT MAY'25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Sheet4!$A$2:$A$11</c:f>
              <c:strCache>
                <c:ptCount val="10"/>
                <c:pt idx="0">
                  <c:v>SUN*</c:v>
                </c:pt>
                <c:pt idx="1">
                  <c:v>ABBOTT*</c:v>
                </c:pt>
                <c:pt idx="2">
                  <c:v>CIPLA</c:v>
                </c:pt>
                <c:pt idx="3">
                  <c:v>MANKIND</c:v>
                </c:pt>
                <c:pt idx="4">
                  <c:v>ALKEM*</c:v>
                </c:pt>
                <c:pt idx="5">
                  <c:v>TORRENT PHARMA*</c:v>
                </c:pt>
                <c:pt idx="6">
                  <c:v>INTAS PHARMA*</c:v>
                </c:pt>
                <c:pt idx="7">
                  <c:v>LUPIN LIMITED</c:v>
                </c:pt>
                <c:pt idx="8">
                  <c:v>MACLEODS PHARMA</c:v>
                </c:pt>
                <c:pt idx="9">
                  <c:v>DR.REDDYS LABS*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10"/>
                <c:pt idx="0">
                  <c:v>15774.848417235984</c:v>
                </c:pt>
                <c:pt idx="1">
                  <c:v>12768.750586064991</c:v>
                </c:pt>
                <c:pt idx="2">
                  <c:v>11087.028529434006</c:v>
                </c:pt>
                <c:pt idx="3">
                  <c:v>10064.830317343994</c:v>
                </c:pt>
                <c:pt idx="4">
                  <c:v>8159.3009494920043</c:v>
                </c:pt>
                <c:pt idx="5">
                  <c:v>7161.9540941100031</c:v>
                </c:pt>
                <c:pt idx="6">
                  <c:v>7044.6920016860049</c:v>
                </c:pt>
                <c:pt idx="7">
                  <c:v>6945.986933471997</c:v>
                </c:pt>
                <c:pt idx="8">
                  <c:v>6866.580078577008</c:v>
                </c:pt>
                <c:pt idx="9">
                  <c:v>6091.6224032240034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3-47BA-9B82-4AD4AD7D383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54687715977222"/>
          <c:y val="4.5115321493677432E-2"/>
          <c:w val="0.33229552009071334"/>
          <c:h val="0.9359196604872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128587</xdr:rowOff>
    </xdr:from>
    <xdr:to>
      <xdr:col>8</xdr:col>
      <xdr:colOff>504825</xdr:colOff>
      <xdr:row>18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209549</xdr:colOff>
      <xdr:row>1</xdr:row>
      <xdr:rowOff>0</xdr:rowOff>
    </xdr:from>
    <xdr:to>
      <xdr:col>23</xdr:col>
      <xdr:colOff>257174</xdr:colOff>
      <xdr:row>15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38100</xdr:rowOff>
    </xdr:from>
    <xdr:to>
      <xdr:col>13</xdr:col>
      <xdr:colOff>114300</xdr:colOff>
      <xdr:row>18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tabSelected="1" topLeftCell="A11" workbookViewId="0">
      <selection activeCell="A21" sqref="A21"/>
    </sheetView>
  </sheetViews>
  <sheetFormatPr defaultRowHeight="15" x14ac:dyDescent="0.25"/>
  <cols>
    <col min="1" max="1" width="37" bestFit="1" customWidth="1"/>
    <col min="2" max="2" width="24.5703125" bestFit="1" customWidth="1"/>
    <col min="3" max="3" width="16.42578125" bestFit="1" customWidth="1"/>
    <col min="4" max="4" width="31.140625" bestFit="1" customWidth="1"/>
    <col min="5" max="5" width="19.28515625" bestFit="1" customWidth="1"/>
    <col min="6" max="6" width="16.42578125" bestFit="1" customWidth="1"/>
    <col min="7" max="7" width="12" bestFit="1" customWidth="1"/>
  </cols>
  <sheetData>
    <row r="2" spans="1:2" x14ac:dyDescent="0.25">
      <c r="A2" s="1" t="s">
        <v>41</v>
      </c>
      <c r="B2" s="1" t="s">
        <v>42</v>
      </c>
    </row>
    <row r="3" spans="1:2" x14ac:dyDescent="0.25">
      <c r="A3" s="5" t="s">
        <v>4</v>
      </c>
      <c r="B3" s="3">
        <v>27106.309910731979</v>
      </c>
    </row>
    <row r="4" spans="1:2" x14ac:dyDescent="0.25">
      <c r="A4" s="5" t="s">
        <v>5</v>
      </c>
      <c r="B4" s="3">
        <v>22375.881503466058</v>
      </c>
    </row>
    <row r="5" spans="1:2" x14ac:dyDescent="0.25">
      <c r="A5" s="5" t="s">
        <v>7</v>
      </c>
      <c r="B5" s="3">
        <v>20762.711124457001</v>
      </c>
    </row>
    <row r="6" spans="1:2" x14ac:dyDescent="0.25">
      <c r="A6" s="5" t="s">
        <v>6</v>
      </c>
      <c r="B6" s="3">
        <v>18959.855492443985</v>
      </c>
    </row>
    <row r="7" spans="1:2" x14ac:dyDescent="0.25">
      <c r="A7" s="5" t="s">
        <v>9</v>
      </c>
      <c r="B7" s="3">
        <v>16636.76294185402</v>
      </c>
    </row>
    <row r="8" spans="1:2" x14ac:dyDescent="0.25">
      <c r="A8" s="5" t="s">
        <v>11</v>
      </c>
      <c r="B8" s="3">
        <v>15974.870513269967</v>
      </c>
    </row>
    <row r="9" spans="1:2" x14ac:dyDescent="0.25">
      <c r="A9" s="5" t="s">
        <v>8</v>
      </c>
      <c r="B9" s="3">
        <v>15770.615444063973</v>
      </c>
    </row>
    <row r="10" spans="1:2" x14ac:dyDescent="0.25">
      <c r="A10" s="5" t="s">
        <v>10</v>
      </c>
      <c r="B10" s="3">
        <v>14225.786333526972</v>
      </c>
    </row>
    <row r="11" spans="1:2" x14ac:dyDescent="0.25">
      <c r="A11" s="5" t="s">
        <v>3</v>
      </c>
      <c r="B11" s="3">
        <v>12400.269400991949</v>
      </c>
    </row>
    <row r="12" spans="1:2" x14ac:dyDescent="0.25">
      <c r="A12" s="5" t="s">
        <v>12</v>
      </c>
      <c r="B12" s="3">
        <v>8961.4947477490368</v>
      </c>
    </row>
    <row r="21" spans="1:6" x14ac:dyDescent="0.25">
      <c r="A21" s="4" t="s">
        <v>51</v>
      </c>
    </row>
    <row r="22" spans="1:6" x14ac:dyDescent="0.25">
      <c r="A22" s="16" t="s">
        <v>52</v>
      </c>
      <c r="B22" s="16"/>
      <c r="C22" s="16"/>
      <c r="D22" s="16"/>
      <c r="E22" s="16"/>
      <c r="F22" s="16"/>
    </row>
    <row r="23" spans="1:6" x14ac:dyDescent="0.25">
      <c r="A23" s="16" t="s">
        <v>53</v>
      </c>
      <c r="B23" s="16"/>
      <c r="C23" s="16"/>
      <c r="D23" s="16"/>
      <c r="E23" s="16"/>
      <c r="F23" s="16"/>
    </row>
    <row r="24" spans="1:6" x14ac:dyDescent="0.25">
      <c r="A24" s="16" t="s">
        <v>54</v>
      </c>
      <c r="B24" s="16"/>
      <c r="C24" s="16"/>
      <c r="D24" s="16"/>
      <c r="E24" s="16"/>
      <c r="F24" s="16"/>
    </row>
  </sheetData>
  <mergeCells count="3">
    <mergeCell ref="A22:F22"/>
    <mergeCell ref="A23:F23"/>
    <mergeCell ref="A24:F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70" zoomScaleNormal="70" workbookViewId="0">
      <selection activeCell="B14" sqref="B14"/>
    </sheetView>
  </sheetViews>
  <sheetFormatPr defaultRowHeight="15" x14ac:dyDescent="0.25"/>
  <cols>
    <col min="1" max="1" width="13.7109375" bestFit="1" customWidth="1"/>
    <col min="2" max="2" width="19.28515625" bestFit="1" customWidth="1"/>
    <col min="3" max="3" width="24.5703125" bestFit="1" customWidth="1"/>
    <col min="4" max="4" width="10.5703125" customWidth="1"/>
  </cols>
  <sheetData>
    <row r="1" spans="1:5" x14ac:dyDescent="0.25">
      <c r="A1" s="11" t="s">
        <v>39</v>
      </c>
      <c r="B1" s="12" t="s">
        <v>0</v>
      </c>
      <c r="C1" s="12" t="s">
        <v>42</v>
      </c>
      <c r="D1" s="11" t="s">
        <v>28</v>
      </c>
      <c r="E1" s="11" t="s">
        <v>40</v>
      </c>
    </row>
    <row r="2" spans="1:5" x14ac:dyDescent="0.25">
      <c r="A2" s="13" t="s">
        <v>14</v>
      </c>
      <c r="B2" s="14" t="s">
        <v>25</v>
      </c>
      <c r="C2" s="15">
        <v>829.53279158399994</v>
      </c>
      <c r="D2" s="9" t="s">
        <v>29</v>
      </c>
      <c r="E2" s="9" t="s">
        <v>30</v>
      </c>
    </row>
    <row r="3" spans="1:5" x14ac:dyDescent="0.25">
      <c r="A3" s="13" t="s">
        <v>35</v>
      </c>
      <c r="B3" s="14" t="s">
        <v>32</v>
      </c>
      <c r="C3" s="15">
        <v>757.06613387700008</v>
      </c>
      <c r="D3" s="9" t="s">
        <v>29</v>
      </c>
      <c r="E3" s="9" t="s">
        <v>30</v>
      </c>
    </row>
    <row r="4" spans="1:5" x14ac:dyDescent="0.25">
      <c r="A4" s="13" t="s">
        <v>13</v>
      </c>
      <c r="B4" s="14" t="s">
        <v>22</v>
      </c>
      <c r="C4" s="15">
        <v>726.20254406300012</v>
      </c>
      <c r="D4" s="9" t="s">
        <v>29</v>
      </c>
      <c r="E4" s="9" t="s">
        <v>30</v>
      </c>
    </row>
    <row r="5" spans="1:5" x14ac:dyDescent="0.25">
      <c r="A5" s="13" t="s">
        <v>36</v>
      </c>
      <c r="B5" s="14" t="s">
        <v>31</v>
      </c>
      <c r="C5" s="15">
        <v>724.79232828800002</v>
      </c>
      <c r="D5" s="9" t="s">
        <v>29</v>
      </c>
      <c r="E5" s="9" t="s">
        <v>30</v>
      </c>
    </row>
    <row r="6" spans="1:5" x14ac:dyDescent="0.25">
      <c r="A6" s="13" t="s">
        <v>16</v>
      </c>
      <c r="B6" s="14" t="s">
        <v>26</v>
      </c>
      <c r="C6" s="15">
        <v>656.417864409</v>
      </c>
      <c r="D6" s="9" t="s">
        <v>29</v>
      </c>
      <c r="E6" s="9" t="s">
        <v>30</v>
      </c>
    </row>
    <row r="7" spans="1:5" x14ac:dyDescent="0.25">
      <c r="A7" s="13" t="s">
        <v>13</v>
      </c>
      <c r="B7" s="14" t="s">
        <v>23</v>
      </c>
      <c r="C7" s="15">
        <v>625.53298594299997</v>
      </c>
      <c r="D7" s="9" t="s">
        <v>29</v>
      </c>
      <c r="E7" s="9" t="s">
        <v>30</v>
      </c>
    </row>
    <row r="8" spans="1:5" x14ac:dyDescent="0.25">
      <c r="A8" s="13" t="s">
        <v>13</v>
      </c>
      <c r="B8" s="14" t="s">
        <v>24</v>
      </c>
      <c r="C8" s="15">
        <v>616.76399136200007</v>
      </c>
      <c r="D8" s="9" t="s">
        <v>29</v>
      </c>
      <c r="E8" s="9" t="s">
        <v>30</v>
      </c>
    </row>
    <row r="9" spans="1:5" x14ac:dyDescent="0.25">
      <c r="A9" s="13" t="s">
        <v>37</v>
      </c>
      <c r="B9" s="14" t="s">
        <v>33</v>
      </c>
      <c r="C9" s="15">
        <v>616.03251972200007</v>
      </c>
      <c r="D9" s="9" t="s">
        <v>29</v>
      </c>
      <c r="E9" s="9" t="s">
        <v>30</v>
      </c>
    </row>
    <row r="10" spans="1:5" x14ac:dyDescent="0.25">
      <c r="A10" s="13" t="s">
        <v>16</v>
      </c>
      <c r="B10" s="14" t="s">
        <v>27</v>
      </c>
      <c r="C10" s="15">
        <v>593.21734685900003</v>
      </c>
      <c r="D10" s="9" t="s">
        <v>29</v>
      </c>
      <c r="E10" s="9" t="s">
        <v>30</v>
      </c>
    </row>
    <row r="11" spans="1:5" x14ac:dyDescent="0.25">
      <c r="A11" s="13" t="s">
        <v>38</v>
      </c>
      <c r="B11" s="14" t="s">
        <v>34</v>
      </c>
      <c r="C11" s="15">
        <v>585.24388421200001</v>
      </c>
      <c r="D11" s="9" t="s">
        <v>29</v>
      </c>
      <c r="E11" s="9" t="s">
        <v>30</v>
      </c>
    </row>
    <row r="17" spans="1:8" x14ac:dyDescent="0.25">
      <c r="A17" s="8" t="s">
        <v>51</v>
      </c>
      <c r="B17" s="9"/>
      <c r="C17" s="9"/>
      <c r="D17" s="9"/>
      <c r="E17" s="9"/>
      <c r="F17" s="9"/>
      <c r="G17" s="9"/>
      <c r="H17" s="9"/>
    </row>
    <row r="18" spans="1:8" x14ac:dyDescent="0.25">
      <c r="A18" s="10" t="s">
        <v>48</v>
      </c>
      <c r="B18" s="10"/>
      <c r="C18" s="10"/>
      <c r="D18" s="10"/>
      <c r="E18" s="10"/>
      <c r="F18" s="10"/>
      <c r="G18" s="10"/>
      <c r="H18" s="10"/>
    </row>
    <row r="19" spans="1:8" x14ac:dyDescent="0.25">
      <c r="A19" s="9" t="s">
        <v>49</v>
      </c>
      <c r="B19" s="9"/>
      <c r="C19" s="9"/>
      <c r="D19" s="9"/>
      <c r="E19" s="9"/>
      <c r="F19" s="9"/>
      <c r="G19" s="9"/>
      <c r="H19" s="9"/>
    </row>
    <row r="20" spans="1:8" x14ac:dyDescent="0.25">
      <c r="A20" s="10" t="s">
        <v>50</v>
      </c>
      <c r="B20" s="10"/>
      <c r="C20" s="10"/>
      <c r="D20" s="10"/>
      <c r="E20" s="10"/>
      <c r="F20" s="10"/>
      <c r="G20" s="9"/>
      <c r="H20" s="9"/>
    </row>
    <row r="21" spans="1:8" x14ac:dyDescent="0.25">
      <c r="A21" s="6"/>
    </row>
  </sheetData>
  <sortState ref="B2:C11">
    <sortCondition descending="1" ref="C2"/>
  </sortState>
  <mergeCells count="2">
    <mergeCell ref="A18:H18"/>
    <mergeCell ref="A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1" workbookViewId="0">
      <selection activeCell="B30" sqref="B30"/>
    </sheetView>
  </sheetViews>
  <sheetFormatPr defaultRowHeight="15" x14ac:dyDescent="0.25"/>
  <cols>
    <col min="1" max="2" width="1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 t="s">
        <v>2</v>
      </c>
      <c r="B2" s="2">
        <v>15774.848417235984</v>
      </c>
    </row>
    <row r="3" spans="1:2" x14ac:dyDescent="0.25">
      <c r="A3" s="5" t="s">
        <v>13</v>
      </c>
      <c r="B3" s="2">
        <v>12768.750586064991</v>
      </c>
    </row>
    <row r="4" spans="1:2" x14ac:dyDescent="0.25">
      <c r="A4" s="5" t="s">
        <v>14</v>
      </c>
      <c r="B4" s="2">
        <v>11087.028529434006</v>
      </c>
    </row>
    <row r="5" spans="1:2" x14ac:dyDescent="0.25">
      <c r="A5" s="5" t="s">
        <v>15</v>
      </c>
      <c r="B5" s="2">
        <v>10064.830317343994</v>
      </c>
    </row>
    <row r="6" spans="1:2" x14ac:dyDescent="0.25">
      <c r="A6" s="5" t="s">
        <v>16</v>
      </c>
      <c r="B6" s="2">
        <v>8159.3009494920043</v>
      </c>
    </row>
    <row r="7" spans="1:2" x14ac:dyDescent="0.25">
      <c r="A7" s="5" t="s">
        <v>17</v>
      </c>
      <c r="B7" s="2">
        <v>7161.9540941100031</v>
      </c>
    </row>
    <row r="8" spans="1:2" x14ac:dyDescent="0.25">
      <c r="A8" s="5" t="s">
        <v>18</v>
      </c>
      <c r="B8" s="2">
        <v>7044.6920016860049</v>
      </c>
    </row>
    <row r="9" spans="1:2" x14ac:dyDescent="0.25">
      <c r="A9" s="5" t="s">
        <v>19</v>
      </c>
      <c r="B9" s="2">
        <v>6945.986933471997</v>
      </c>
    </row>
    <row r="10" spans="1:2" x14ac:dyDescent="0.25">
      <c r="A10" s="5" t="s">
        <v>20</v>
      </c>
      <c r="B10" s="2">
        <v>6866.580078577008</v>
      </c>
    </row>
    <row r="11" spans="1:2" x14ac:dyDescent="0.25">
      <c r="A11" s="5" t="s">
        <v>21</v>
      </c>
      <c r="B11" s="2">
        <v>6091.6224032240034</v>
      </c>
    </row>
    <row r="20" spans="1:9" x14ac:dyDescent="0.25">
      <c r="F20" s="4" t="s">
        <v>43</v>
      </c>
      <c r="G20" s="4"/>
    </row>
    <row r="23" spans="1:9" x14ac:dyDescent="0.25">
      <c r="A23" s="4" t="s">
        <v>44</v>
      </c>
    </row>
    <row r="24" spans="1:9" x14ac:dyDescent="0.25">
      <c r="A24" s="7" t="s">
        <v>45</v>
      </c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</row>
  </sheetData>
  <mergeCells count="3">
    <mergeCell ref="A24:I24"/>
    <mergeCell ref="A25:I25"/>
    <mergeCell ref="A26:I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2026-04-01T08:41:04Z</dcterms:created>
  <dcterms:modified xsi:type="dcterms:W3CDTF">2026-04-01T09:52:56Z</dcterms:modified>
</cp:coreProperties>
</file>